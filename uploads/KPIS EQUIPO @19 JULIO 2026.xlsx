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VO-LAP\Desktop\"/>
    </mc:Choice>
  </mc:AlternateContent>
  <xr:revisionPtr revIDLastSave="0" documentId="8_{4AEAFA16-F80D-4399-82AF-B3E42C841A1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jecutivo Promotoria Bepensa" sheetId="2" r:id="rId1"/>
    <sheet name="Ejecutivo Impuls Vta Bepensa" sheetId="3" r:id="rId2"/>
    <sheet name="Ejecutivo Promotoria GIFAN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E21" i="4"/>
  <c r="E18" i="4"/>
  <c r="E16" i="4"/>
  <c r="E13" i="4"/>
  <c r="E17" i="3"/>
  <c r="E12" i="3"/>
  <c r="E19" i="3" s="1"/>
  <c r="E18" i="2"/>
  <c r="E15" i="2"/>
  <c r="E12" i="2"/>
  <c r="E20" i="2" s="1"/>
</calcChain>
</file>

<file path=xl/sharedStrings.xml><?xml version="1.0" encoding="utf-8"?>
<sst xmlns="http://schemas.openxmlformats.org/spreadsheetml/2006/main" count="120" uniqueCount="54">
  <si>
    <t>Proyecto de más de 150 promotores · Seguimiento mensual de KPIs</t>
  </si>
  <si>
    <t>Categoría</t>
  </si>
  <si>
    <t>Indicador (KPI)</t>
  </si>
  <si>
    <t>Tasa de Ausentismo</t>
  </si>
  <si>
    <t xml:space="preserve">  CALIDAD Y CLIENTE</t>
  </si>
  <si>
    <t>Satisfacción del Cliente</t>
  </si>
  <si>
    <t>Auditorías Aprobadas</t>
  </si>
  <si>
    <t>% supervisiones con resultado satisfactorio</t>
  </si>
  <si>
    <t xml:space="preserve">  ADMINISTRACIÓN</t>
  </si>
  <si>
    <t>Precisión en Nómina</t>
  </si>
  <si>
    <t>Incidencias nómina correctas / Total × 100</t>
  </si>
  <si>
    <t>No aplica en Incapacidades, Días festivos etc.</t>
  </si>
  <si>
    <t>Entrega primeros 05 días</t>
  </si>
  <si>
    <t xml:space="preserve">  GESTIÓN DEL PERSONAL Y REPORTEO</t>
  </si>
  <si>
    <t>Enviar análisis de la coberuta semanal de promotoría, idetificando riesgos por área y dar visibilidad por región.</t>
  </si>
  <si>
    <t>Durante el mes se evaluará que el cliente no haya tenido alguna molestia o comentario negativo con respecto al seguimiento diario de los pendientes.</t>
  </si>
  <si>
    <t>Durante el mes, estare solicitando sus master, plan de trabajo etc, mismos que revisare vs HC o presupuesto y validare que todo este en orden y actualizado.</t>
  </si>
  <si>
    <t>Validación de cero errores en nómina, bonos ingresados en tiempo y forma, asi como personal que haya ingresado al corte y que de nuestro lado si hayamos ingresado a los archivos.</t>
  </si>
  <si>
    <t>Comprobación de Gastos</t>
  </si>
  <si>
    <t>Facturas en portal/No gastos con más de 10 días sin comprobación</t>
  </si>
  <si>
    <t>Ponderación</t>
  </si>
  <si>
    <t>Lunes a semana Vencida</t>
  </si>
  <si>
    <t>Consideraciones</t>
  </si>
  <si>
    <t>Entrega de Reportes de Iniciativas Corporativas</t>
  </si>
  <si>
    <t>Entrega primeros 08 días</t>
  </si>
  <si>
    <t>Calificación promedio en revisiones periódicas/No llamadas de atención/Relación con Coordinadores y Supervisores</t>
  </si>
  <si>
    <t>Envío y carga de Plan de Trabajo Mensual</t>
  </si>
  <si>
    <t>Reporte a Semana Vencida Cobertuta Emetrix e  incidencias de personal</t>
  </si>
  <si>
    <t>Entrega de Soportes de nómina y de gastos los  05 días hábiles del mes.</t>
  </si>
  <si>
    <t>Entrega de reporte de cierre mensual Evolve</t>
  </si>
  <si>
    <t>Entrega primeros 10 días</t>
  </si>
  <si>
    <t xml:space="preserve"> Descripción</t>
  </si>
  <si>
    <t xml:space="preserve">Tener por lo menos 90% De días efectivos al mes. </t>
  </si>
  <si>
    <t>Tener por lo menos 85% De días efectivos con respecto a la activación</t>
  </si>
  <si>
    <t>Envío de reporte semanal de activación</t>
  </si>
  <si>
    <t>Entrega de cierre de proyecto</t>
  </si>
  <si>
    <t>Entrega los primeros 3 días hábiles de haber terminado el proyecto</t>
  </si>
  <si>
    <t>Enviar los martes a semana vencida de a ver culminado los días de activación</t>
  </si>
  <si>
    <t>Salida de campo y hallazgos (Reporte)</t>
  </si>
  <si>
    <t>Dos salidas mensuales y realizar un reporte con valor para el cliente de lo encontrado en campo. Enviar primeros 05 días</t>
  </si>
  <si>
    <t>Envíar soporte del 1 al 5 del mes, para que el 05 yo pueda revisar y homologar</t>
  </si>
  <si>
    <t>Envíar reporte de iniciativas corporativas a total proyectos del 1 al 5 de cada mes</t>
  </si>
  <si>
    <t>Enviar el reporte de cierre de proyecto, identificando los hallazgos, ventas, casos de éxito y mejores que podemos presentas con el cliente.</t>
  </si>
  <si>
    <t>EJECUTIVO  — PROMOTORÍA FIJA BEPENSA</t>
  </si>
  <si>
    <t>EJECUTIVO  — IMPULSORES DE VENTA BEPENSA</t>
  </si>
  <si>
    <t>EJECUTIVO  — GIFAN</t>
  </si>
  <si>
    <t>Envíar soporte del 1 al 5 del mes</t>
  </si>
  <si>
    <t>Envíar reporte de Iniciativa Corporativa ya sea para Gifan o para Evolve</t>
  </si>
  <si>
    <t>Envío y carga de plan de trabajo los primeros 5 días habiles, para poder obtener la cobertura real a final del mes.</t>
  </si>
  <si>
    <t>Envio de reportes mensuales cliente (Smiley Kids, Cristalinas, etc)</t>
  </si>
  <si>
    <t>Envío de reportes solicitados por el cliente los primeros 5 días habiles.</t>
  </si>
  <si>
    <t>PUNTUACIÓN MÁXIMA</t>
  </si>
  <si>
    <t>Envíar reporte de Iniciativa Corporativa ya sea para Bepensa o para Evolve</t>
  </si>
  <si>
    <t>Enviar el reporte de cierre de mes, como parte del "Sello Evo", donde se incluya rotación, apego al plan, ventas, exhibiciones realizadas en el mes, iniciativas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</si>
</sst>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1F3864"/>
      <name val="Arial"/>
      <family val="2"/>
    </font>
    <font>
      <b/>
      <sz val="15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F3864"/>
      <name val="Arial"/>
      <family val="2"/>
    </font>
    <font>
      <sz val="9"/>
      <color rgb="FF404040"/>
      <name val="Arial"/>
      <family val="2"/>
    </font>
    <font>
      <b/>
      <sz val="10"/>
      <color rgb="FF375623"/>
      <name val="Arial"/>
      <family val="2"/>
    </font>
    <font>
      <b/>
      <sz val="9"/>
      <color rgb="FF404040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EEAF1"/>
      </patternFill>
    </fill>
    <fill>
      <patternFill patternType="solid">
        <fgColor theme="4"/>
        <bgColor indexed="64"/>
      </patternFill>
    </fill>
    <fill>
      <patternFill patternType="solid">
        <fgColor rgb="FF66FF33"/>
        <bgColor rgb="FF0066CC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7" borderId="0" xfId="0" applyFill="1"/>
    <xf numFmtId="0" fontId="8" fillId="4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0" fontId="7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20"/>
  <sheetViews>
    <sheetView showGridLines="0" tabSelected="1" topLeftCell="A14" zoomScaleNormal="100" workbookViewId="0">
      <selection activeCell="E20" sqref="E20"/>
    </sheetView>
  </sheetViews>
  <sheetFormatPr baseColWidth="10" defaultColWidth="8.7109375" defaultRowHeight="15" x14ac:dyDescent="0.25"/>
  <cols>
    <col min="1" max="1" width="2" customWidth="1"/>
    <col min="2" max="2" width="9.7109375" customWidth="1"/>
    <col min="3" max="3" width="38.28515625" customWidth="1"/>
    <col min="4" max="4" width="22.42578125" customWidth="1"/>
    <col min="5" max="5" width="13.5703125" customWidth="1"/>
    <col min="6" max="6" width="51.7109375" customWidth="1"/>
    <col min="7" max="11" width="7" customWidth="1"/>
  </cols>
  <sheetData>
    <row r="1" spans="2:6" ht="36" customHeight="1" x14ac:dyDescent="0.25">
      <c r="B1" s="25" t="s">
        <v>43</v>
      </c>
      <c r="C1" s="25"/>
      <c r="D1" s="25"/>
      <c r="E1" s="12"/>
      <c r="F1" s="10"/>
    </row>
    <row r="2" spans="2:6" ht="27.75" customHeight="1" x14ac:dyDescent="0.25">
      <c r="B2" s="26" t="s">
        <v>0</v>
      </c>
      <c r="C2" s="26"/>
      <c r="D2" s="26"/>
      <c r="E2" s="13"/>
      <c r="F2" s="13"/>
    </row>
    <row r="3" spans="2:6" ht="13.5" customHeight="1" x14ac:dyDescent="0.25"/>
    <row r="4" spans="2:6" ht="35.25" customHeight="1" x14ac:dyDescent="0.25">
      <c r="B4" s="1" t="s">
        <v>1</v>
      </c>
      <c r="C4" s="1" t="s">
        <v>2</v>
      </c>
      <c r="D4" s="1" t="s">
        <v>31</v>
      </c>
      <c r="E4" s="1" t="s">
        <v>20</v>
      </c>
      <c r="F4" s="1" t="s">
        <v>22</v>
      </c>
    </row>
    <row r="5" spans="2:6" x14ac:dyDescent="0.25">
      <c r="B5" s="27" t="s">
        <v>13</v>
      </c>
      <c r="C5" s="28"/>
      <c r="D5" s="28"/>
      <c r="E5" s="14"/>
      <c r="F5" s="10"/>
    </row>
    <row r="6" spans="2:6" ht="24" x14ac:dyDescent="0.25">
      <c r="B6" s="2"/>
      <c r="C6" s="3" t="s">
        <v>3</v>
      </c>
      <c r="D6" s="4" t="s">
        <v>32</v>
      </c>
      <c r="E6" s="15">
        <v>5</v>
      </c>
      <c r="F6" s="2" t="s">
        <v>11</v>
      </c>
    </row>
    <row r="7" spans="2:6" ht="30" customHeight="1" x14ac:dyDescent="0.25">
      <c r="B7" s="2"/>
      <c r="C7" s="3" t="s">
        <v>28</v>
      </c>
      <c r="D7" s="4" t="s">
        <v>12</v>
      </c>
      <c r="E7" s="15">
        <v>15</v>
      </c>
      <c r="F7" s="2" t="s">
        <v>46</v>
      </c>
    </row>
    <row r="8" spans="2:6" ht="45" customHeight="1" x14ac:dyDescent="0.25">
      <c r="B8" s="5"/>
      <c r="C8" s="6" t="s">
        <v>23</v>
      </c>
      <c r="D8" s="11" t="s">
        <v>30</v>
      </c>
      <c r="E8" s="15">
        <v>10</v>
      </c>
      <c r="F8" s="2" t="s">
        <v>52</v>
      </c>
    </row>
    <row r="9" spans="2:6" ht="45" customHeight="1" x14ac:dyDescent="0.25">
      <c r="B9" s="5"/>
      <c r="C9" s="6" t="s">
        <v>26</v>
      </c>
      <c r="D9" s="4" t="s">
        <v>12</v>
      </c>
      <c r="E9" s="15">
        <v>10</v>
      </c>
      <c r="F9" s="2" t="s">
        <v>48</v>
      </c>
    </row>
    <row r="10" spans="2:6" ht="45" customHeight="1" x14ac:dyDescent="0.25">
      <c r="B10" s="5"/>
      <c r="C10" s="6" t="s">
        <v>27</v>
      </c>
      <c r="D10" s="11" t="s">
        <v>21</v>
      </c>
      <c r="E10" s="9">
        <v>10</v>
      </c>
      <c r="F10" s="2" t="s">
        <v>14</v>
      </c>
    </row>
    <row r="11" spans="2:6" ht="45" customHeight="1" x14ac:dyDescent="0.25">
      <c r="B11" s="5"/>
      <c r="C11" s="6" t="s">
        <v>29</v>
      </c>
      <c r="D11" s="11" t="s">
        <v>24</v>
      </c>
      <c r="E11" s="15">
        <v>20</v>
      </c>
      <c r="F11" s="2" t="s">
        <v>53</v>
      </c>
    </row>
    <row r="12" spans="2:6" ht="30" customHeight="1" x14ac:dyDescent="0.25">
      <c r="B12" s="24" t="s">
        <v>4</v>
      </c>
      <c r="C12" s="24"/>
      <c r="D12" s="24"/>
      <c r="E12" s="16">
        <f>SUM(E6:E11)</f>
        <v>70</v>
      </c>
    </row>
    <row r="13" spans="2:6" ht="72" customHeight="1" x14ac:dyDescent="0.25">
      <c r="B13" s="5"/>
      <c r="C13" s="6" t="s">
        <v>5</v>
      </c>
      <c r="D13" s="7" t="s">
        <v>25</v>
      </c>
      <c r="E13" s="8">
        <v>5</v>
      </c>
      <c r="F13" s="2" t="s">
        <v>15</v>
      </c>
    </row>
    <row r="14" spans="2:6" ht="40.5" customHeight="1" x14ac:dyDescent="0.25">
      <c r="B14" s="5"/>
      <c r="C14" s="6" t="s">
        <v>6</v>
      </c>
      <c r="D14" s="7" t="s">
        <v>7</v>
      </c>
      <c r="E14" s="8">
        <v>5</v>
      </c>
      <c r="F14" s="2" t="s">
        <v>16</v>
      </c>
    </row>
    <row r="15" spans="2:6" ht="30" customHeight="1" x14ac:dyDescent="0.25">
      <c r="B15" s="24" t="s">
        <v>8</v>
      </c>
      <c r="C15" s="24"/>
      <c r="D15" s="24"/>
      <c r="E15" s="16">
        <f>E13+E14</f>
        <v>10</v>
      </c>
    </row>
    <row r="16" spans="2:6" ht="54" customHeight="1" x14ac:dyDescent="0.25">
      <c r="B16" s="5"/>
      <c r="C16" s="6" t="s">
        <v>9</v>
      </c>
      <c r="D16" s="7" t="s">
        <v>10</v>
      </c>
      <c r="E16" s="8">
        <v>5</v>
      </c>
      <c r="F16" s="2" t="s">
        <v>17</v>
      </c>
    </row>
    <row r="17" spans="2:6" ht="54" customHeight="1" x14ac:dyDescent="0.25">
      <c r="B17" s="5"/>
      <c r="C17" s="6" t="s">
        <v>18</v>
      </c>
      <c r="D17" s="7" t="s">
        <v>19</v>
      </c>
      <c r="E17" s="8">
        <v>15</v>
      </c>
      <c r="F17" s="2" t="s">
        <v>19</v>
      </c>
    </row>
    <row r="18" spans="2:6" ht="24" customHeight="1" x14ac:dyDescent="0.25">
      <c r="B18" s="22"/>
      <c r="C18" s="22"/>
      <c r="D18" s="22"/>
      <c r="E18" s="16">
        <f>E16+E17</f>
        <v>20</v>
      </c>
    </row>
    <row r="19" spans="2:6" x14ac:dyDescent="0.25">
      <c r="B19" s="17"/>
      <c r="C19" s="17"/>
      <c r="D19" s="17"/>
      <c r="E19" s="18"/>
    </row>
    <row r="20" spans="2:6" x14ac:dyDescent="0.25">
      <c r="B20" s="23" t="s">
        <v>51</v>
      </c>
      <c r="C20" s="23"/>
      <c r="D20" s="23"/>
      <c r="E20" s="21">
        <f>E12+E15+E18</f>
        <v>100</v>
      </c>
    </row>
  </sheetData>
  <mergeCells count="7">
    <mergeCell ref="B18:D18"/>
    <mergeCell ref="B20:D20"/>
    <mergeCell ref="B15:D15"/>
    <mergeCell ref="B1:D1"/>
    <mergeCell ref="B2:D2"/>
    <mergeCell ref="B5:D5"/>
    <mergeCell ref="B12:D1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7C11-6FA6-4DEA-BDBF-9F470EA06AF3}">
  <dimension ref="B1:F19"/>
  <sheetViews>
    <sheetView showGridLines="0" topLeftCell="A11" zoomScaleNormal="100" workbookViewId="0">
      <selection activeCell="E19" sqref="E19"/>
    </sheetView>
  </sheetViews>
  <sheetFormatPr baseColWidth="10" defaultColWidth="8.7109375" defaultRowHeight="15" x14ac:dyDescent="0.25"/>
  <cols>
    <col min="1" max="1" width="2" customWidth="1"/>
    <col min="2" max="2" width="9.7109375" customWidth="1"/>
    <col min="3" max="3" width="38.28515625" customWidth="1"/>
    <col min="4" max="4" width="36.140625" customWidth="1"/>
    <col min="5" max="5" width="13.5703125" customWidth="1"/>
    <col min="6" max="6" width="51.7109375" customWidth="1"/>
    <col min="7" max="11" width="7" customWidth="1"/>
  </cols>
  <sheetData>
    <row r="1" spans="2:6" ht="36" customHeight="1" x14ac:dyDescent="0.25">
      <c r="B1" s="25" t="s">
        <v>44</v>
      </c>
      <c r="C1" s="25"/>
      <c r="D1" s="25"/>
      <c r="E1" s="12"/>
      <c r="F1" s="10"/>
    </row>
    <row r="2" spans="2:6" ht="27.75" customHeight="1" x14ac:dyDescent="0.25">
      <c r="B2" s="26" t="s">
        <v>0</v>
      </c>
      <c r="C2" s="26"/>
      <c r="D2" s="26"/>
      <c r="E2" s="13"/>
      <c r="F2" s="13"/>
    </row>
    <row r="3" spans="2:6" ht="13.5" customHeight="1" x14ac:dyDescent="0.25"/>
    <row r="4" spans="2:6" ht="35.25" customHeight="1" x14ac:dyDescent="0.25">
      <c r="B4" s="1" t="s">
        <v>1</v>
      </c>
      <c r="C4" s="1" t="s">
        <v>2</v>
      </c>
      <c r="D4" s="1" t="s">
        <v>31</v>
      </c>
      <c r="E4" s="1" t="s">
        <v>20</v>
      </c>
      <c r="F4" s="1" t="s">
        <v>22</v>
      </c>
    </row>
    <row r="5" spans="2:6" x14ac:dyDescent="0.25">
      <c r="B5" s="27" t="s">
        <v>13</v>
      </c>
      <c r="C5" s="28"/>
      <c r="D5" s="28"/>
      <c r="E5" s="14"/>
      <c r="F5" s="10"/>
    </row>
    <row r="6" spans="2:6" ht="24" x14ac:dyDescent="0.25">
      <c r="B6" s="2"/>
      <c r="C6" s="3" t="s">
        <v>3</v>
      </c>
      <c r="D6" s="19" t="s">
        <v>33</v>
      </c>
      <c r="E6" s="15">
        <v>5</v>
      </c>
      <c r="F6" s="2" t="s">
        <v>11</v>
      </c>
    </row>
    <row r="7" spans="2:6" ht="30" customHeight="1" x14ac:dyDescent="0.25">
      <c r="B7" s="2"/>
      <c r="C7" s="3" t="s">
        <v>28</v>
      </c>
      <c r="D7" s="4" t="s">
        <v>12</v>
      </c>
      <c r="E7" s="15">
        <v>15</v>
      </c>
      <c r="F7" s="2" t="s">
        <v>40</v>
      </c>
    </row>
    <row r="8" spans="2:6" ht="45" customHeight="1" x14ac:dyDescent="0.25">
      <c r="B8" s="5"/>
      <c r="C8" s="6" t="s">
        <v>23</v>
      </c>
      <c r="D8" s="11" t="s">
        <v>30</v>
      </c>
      <c r="E8" s="15">
        <v>10</v>
      </c>
      <c r="F8" s="2" t="s">
        <v>41</v>
      </c>
    </row>
    <row r="9" spans="2:6" ht="45" customHeight="1" x14ac:dyDescent="0.25">
      <c r="B9" s="5"/>
      <c r="C9" s="6" t="s">
        <v>34</v>
      </c>
      <c r="D9" s="19" t="s">
        <v>37</v>
      </c>
      <c r="E9" s="15">
        <v>10</v>
      </c>
      <c r="F9" s="2" t="s">
        <v>37</v>
      </c>
    </row>
    <row r="10" spans="2:6" ht="53.25" customHeight="1" x14ac:dyDescent="0.25">
      <c r="B10" s="5"/>
      <c r="C10" s="6" t="s">
        <v>38</v>
      </c>
      <c r="D10" s="11" t="s">
        <v>39</v>
      </c>
      <c r="E10" s="9">
        <v>15</v>
      </c>
      <c r="F10" s="11" t="s">
        <v>39</v>
      </c>
    </row>
    <row r="11" spans="2:6" ht="45" customHeight="1" x14ac:dyDescent="0.25">
      <c r="B11" s="5"/>
      <c r="C11" s="6" t="s">
        <v>35</v>
      </c>
      <c r="D11" s="11" t="s">
        <v>36</v>
      </c>
      <c r="E11" s="15">
        <v>20</v>
      </c>
      <c r="F11" s="2" t="s">
        <v>42</v>
      </c>
    </row>
    <row r="12" spans="2:6" ht="30" customHeight="1" x14ac:dyDescent="0.25">
      <c r="B12" s="24" t="s">
        <v>4</v>
      </c>
      <c r="C12" s="24"/>
      <c r="D12" s="24"/>
      <c r="E12" s="16">
        <f>SUM(E6:E11)</f>
        <v>75</v>
      </c>
    </row>
    <row r="13" spans="2:6" ht="40.5" customHeight="1" x14ac:dyDescent="0.25">
      <c r="B13" s="5"/>
      <c r="C13" s="6" t="s">
        <v>6</v>
      </c>
      <c r="D13" s="7" t="s">
        <v>7</v>
      </c>
      <c r="E13" s="8">
        <v>5</v>
      </c>
      <c r="F13" s="2" t="s">
        <v>16</v>
      </c>
    </row>
    <row r="14" spans="2:6" ht="30" customHeight="1" x14ac:dyDescent="0.25">
      <c r="B14" s="24" t="s">
        <v>8</v>
      </c>
      <c r="C14" s="24"/>
      <c r="D14" s="24"/>
      <c r="E14" s="16">
        <f>E13</f>
        <v>5</v>
      </c>
    </row>
    <row r="15" spans="2:6" ht="54" customHeight="1" x14ac:dyDescent="0.25">
      <c r="B15" s="5"/>
      <c r="C15" s="6" t="s">
        <v>9</v>
      </c>
      <c r="D15" s="7" t="s">
        <v>10</v>
      </c>
      <c r="E15" s="8">
        <v>5</v>
      </c>
      <c r="F15" s="2" t="s">
        <v>17</v>
      </c>
    </row>
    <row r="16" spans="2:6" ht="54" customHeight="1" x14ac:dyDescent="0.25">
      <c r="B16" s="5"/>
      <c r="C16" s="6" t="s">
        <v>18</v>
      </c>
      <c r="D16" s="7" t="s">
        <v>19</v>
      </c>
      <c r="E16" s="8">
        <v>15</v>
      </c>
      <c r="F16" s="2" t="s">
        <v>19</v>
      </c>
    </row>
    <row r="17" spans="2:5" ht="24" customHeight="1" x14ac:dyDescent="0.25">
      <c r="B17" s="22"/>
      <c r="C17" s="22"/>
      <c r="D17" s="22"/>
      <c r="E17" s="16">
        <f>E15+E16</f>
        <v>20</v>
      </c>
    </row>
    <row r="18" spans="2:5" x14ac:dyDescent="0.25">
      <c r="B18" s="17"/>
      <c r="C18" s="17"/>
      <c r="D18" s="17"/>
      <c r="E18" s="18"/>
    </row>
    <row r="19" spans="2:5" x14ac:dyDescent="0.25">
      <c r="B19" s="23" t="s">
        <v>51</v>
      </c>
      <c r="C19" s="23"/>
      <c r="D19" s="23"/>
      <c r="E19" s="21">
        <f>E12+E14+E17</f>
        <v>100</v>
      </c>
    </row>
  </sheetData>
  <mergeCells count="7">
    <mergeCell ref="B17:D17"/>
    <mergeCell ref="B19:D19"/>
    <mergeCell ref="B1:D1"/>
    <mergeCell ref="B2:D2"/>
    <mergeCell ref="B5:D5"/>
    <mergeCell ref="B12:D12"/>
    <mergeCell ref="B14:D1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FF611-5435-416A-AEB1-FD23CAAED227}">
  <dimension ref="B1:F21"/>
  <sheetViews>
    <sheetView showGridLines="0" topLeftCell="A13" zoomScaleNormal="100" workbookViewId="0">
      <selection activeCell="E21" sqref="E21"/>
    </sheetView>
  </sheetViews>
  <sheetFormatPr baseColWidth="10" defaultColWidth="8.7109375" defaultRowHeight="15" x14ac:dyDescent="0.25"/>
  <cols>
    <col min="1" max="1" width="2" customWidth="1"/>
    <col min="2" max="2" width="9.7109375" customWidth="1"/>
    <col min="3" max="3" width="38.28515625" customWidth="1"/>
    <col min="4" max="4" width="22.42578125" customWidth="1"/>
    <col min="5" max="5" width="13.5703125" customWidth="1"/>
    <col min="6" max="6" width="51.7109375" customWidth="1"/>
    <col min="7" max="11" width="7" customWidth="1"/>
  </cols>
  <sheetData>
    <row r="1" spans="2:6" ht="36" customHeight="1" x14ac:dyDescent="0.25">
      <c r="B1" s="25" t="s">
        <v>45</v>
      </c>
      <c r="C1" s="25"/>
      <c r="D1" s="25"/>
      <c r="E1" s="12"/>
      <c r="F1" s="10"/>
    </row>
    <row r="2" spans="2:6" ht="27.75" customHeight="1" x14ac:dyDescent="0.25">
      <c r="B2" s="26" t="s">
        <v>0</v>
      </c>
      <c r="C2" s="26"/>
      <c r="D2" s="26"/>
      <c r="E2" s="13"/>
      <c r="F2" s="13"/>
    </row>
    <row r="3" spans="2:6" ht="13.5" customHeight="1" x14ac:dyDescent="0.25"/>
    <row r="4" spans="2:6" ht="35.25" customHeight="1" x14ac:dyDescent="0.25">
      <c r="B4" s="1" t="s">
        <v>1</v>
      </c>
      <c r="C4" s="1" t="s">
        <v>2</v>
      </c>
      <c r="D4" s="1" t="s">
        <v>31</v>
      </c>
      <c r="E4" s="1" t="s">
        <v>20</v>
      </c>
      <c r="F4" s="1" t="s">
        <v>22</v>
      </c>
    </row>
    <row r="5" spans="2:6" x14ac:dyDescent="0.25">
      <c r="B5" s="27" t="s">
        <v>13</v>
      </c>
      <c r="C5" s="28"/>
      <c r="D5" s="28"/>
      <c r="E5" s="14"/>
      <c r="F5" s="10"/>
    </row>
    <row r="6" spans="2:6" ht="24" x14ac:dyDescent="0.25">
      <c r="B6" s="2"/>
      <c r="C6" s="3" t="s">
        <v>3</v>
      </c>
      <c r="D6" s="4" t="s">
        <v>32</v>
      </c>
      <c r="E6" s="15">
        <v>5</v>
      </c>
      <c r="F6" s="2" t="s">
        <v>11</v>
      </c>
    </row>
    <row r="7" spans="2:6" ht="30" customHeight="1" x14ac:dyDescent="0.25">
      <c r="B7" s="2"/>
      <c r="C7" s="3" t="s">
        <v>28</v>
      </c>
      <c r="D7" s="4" t="s">
        <v>12</v>
      </c>
      <c r="E7" s="15">
        <v>15</v>
      </c>
      <c r="F7" s="2" t="s">
        <v>46</v>
      </c>
    </row>
    <row r="8" spans="2:6" ht="45" customHeight="1" x14ac:dyDescent="0.25">
      <c r="B8" s="5"/>
      <c r="C8" s="6" t="s">
        <v>23</v>
      </c>
      <c r="D8" s="11" t="s">
        <v>30</v>
      </c>
      <c r="E8" s="15">
        <v>10</v>
      </c>
      <c r="F8" s="2" t="s">
        <v>47</v>
      </c>
    </row>
    <row r="9" spans="2:6" ht="45" customHeight="1" x14ac:dyDescent="0.25">
      <c r="B9" s="5"/>
      <c r="C9" s="6" t="s">
        <v>26</v>
      </c>
      <c r="D9" s="4" t="s">
        <v>12</v>
      </c>
      <c r="E9" s="15">
        <v>10</v>
      </c>
      <c r="F9" s="2" t="s">
        <v>48</v>
      </c>
    </row>
    <row r="10" spans="2:6" ht="45" customHeight="1" x14ac:dyDescent="0.25">
      <c r="B10" s="5"/>
      <c r="C10" s="6" t="s">
        <v>27</v>
      </c>
      <c r="D10" s="11" t="s">
        <v>21</v>
      </c>
      <c r="E10" s="9">
        <v>10</v>
      </c>
      <c r="F10" s="2" t="s">
        <v>14</v>
      </c>
    </row>
    <row r="11" spans="2:6" ht="45" customHeight="1" x14ac:dyDescent="0.25">
      <c r="B11" s="5"/>
      <c r="C11" s="6" t="s">
        <v>49</v>
      </c>
      <c r="D11" s="4" t="s">
        <v>12</v>
      </c>
      <c r="E11" s="20">
        <v>15</v>
      </c>
      <c r="F11" s="2" t="s">
        <v>50</v>
      </c>
    </row>
    <row r="12" spans="2:6" ht="45" customHeight="1" x14ac:dyDescent="0.25">
      <c r="B12" s="5"/>
      <c r="C12" s="6" t="s">
        <v>29</v>
      </c>
      <c r="D12" s="11" t="s">
        <v>24</v>
      </c>
      <c r="E12" s="15">
        <v>20</v>
      </c>
      <c r="F12" s="2" t="s">
        <v>53</v>
      </c>
    </row>
    <row r="13" spans="2:6" ht="30" customHeight="1" x14ac:dyDescent="0.25">
      <c r="B13" s="24" t="s">
        <v>4</v>
      </c>
      <c r="C13" s="24"/>
      <c r="D13" s="24"/>
      <c r="E13" s="16">
        <f>SUM(E6:E12)</f>
        <v>85</v>
      </c>
    </row>
    <row r="14" spans="2:6" ht="72" customHeight="1" x14ac:dyDescent="0.25">
      <c r="B14" s="5"/>
      <c r="C14" s="6" t="s">
        <v>5</v>
      </c>
      <c r="D14" s="7" t="s">
        <v>25</v>
      </c>
      <c r="E14" s="8">
        <v>5</v>
      </c>
      <c r="F14" s="2" t="s">
        <v>15</v>
      </c>
    </row>
    <row r="15" spans="2:6" ht="40.5" customHeight="1" x14ac:dyDescent="0.25">
      <c r="B15" s="5"/>
      <c r="C15" s="6" t="s">
        <v>6</v>
      </c>
      <c r="D15" s="7" t="s">
        <v>7</v>
      </c>
      <c r="E15" s="8">
        <v>5</v>
      </c>
      <c r="F15" s="2" t="s">
        <v>16</v>
      </c>
    </row>
    <row r="16" spans="2:6" ht="30" customHeight="1" x14ac:dyDescent="0.25">
      <c r="B16" s="24" t="s">
        <v>8</v>
      </c>
      <c r="C16" s="24"/>
      <c r="D16" s="24"/>
      <c r="E16" s="16">
        <f>E14+E15</f>
        <v>10</v>
      </c>
    </row>
    <row r="17" spans="2:6" ht="54" customHeight="1" x14ac:dyDescent="0.25">
      <c r="B17" s="5"/>
      <c r="C17" s="6" t="s">
        <v>9</v>
      </c>
      <c r="D17" s="7" t="s">
        <v>10</v>
      </c>
      <c r="E17" s="8">
        <v>5</v>
      </c>
      <c r="F17" s="2" t="s">
        <v>17</v>
      </c>
    </row>
    <row r="18" spans="2:6" ht="24" customHeight="1" x14ac:dyDescent="0.25">
      <c r="B18" s="22"/>
      <c r="C18" s="22"/>
      <c r="D18" s="22"/>
      <c r="E18" s="16">
        <f>E17</f>
        <v>5</v>
      </c>
    </row>
    <row r="19" spans="2:6" x14ac:dyDescent="0.25">
      <c r="B19" s="17"/>
      <c r="C19" s="17"/>
      <c r="D19" s="17"/>
      <c r="E19" s="18"/>
    </row>
    <row r="20" spans="2:6" x14ac:dyDescent="0.25">
      <c r="B20" s="17"/>
      <c r="C20" s="17"/>
      <c r="D20" s="17"/>
      <c r="E20" s="18"/>
    </row>
    <row r="21" spans="2:6" x14ac:dyDescent="0.25">
      <c r="B21" s="23" t="s">
        <v>51</v>
      </c>
      <c r="C21" s="23"/>
      <c r="D21" s="23"/>
      <c r="E21" s="21">
        <f>E13+E16+E18</f>
        <v>100</v>
      </c>
    </row>
  </sheetData>
  <mergeCells count="7">
    <mergeCell ref="B21:D21"/>
    <mergeCell ref="B1:D1"/>
    <mergeCell ref="B2:D2"/>
    <mergeCell ref="B5:D5"/>
    <mergeCell ref="B13:D13"/>
    <mergeCell ref="B16:D16"/>
    <mergeCell ref="B18:D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Ejecutivo Promotoria Bepensa</vt:lpstr>
      <vt:lpstr>Ejecutivo Impuls Vta Bepensa</vt:lpstr>
      <vt:lpstr>Ejecutivo Promotoria GIFAN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Evolve</dc:creator>
  <dc:description/>
  <cp:lastModifiedBy>said@evolve.com.mx</cp:lastModifiedBy>
  <cp:revision>0</cp:revision>
  <dcterms:created xsi:type="dcterms:W3CDTF">2026-03-26T19:46:13Z</dcterms:created>
  <dcterms:modified xsi:type="dcterms:W3CDTF">2026-07-19T16:43:50Z</dcterms:modified>
  <dc:language>en-US</dc:language>
</cp:coreProperties>
</file>